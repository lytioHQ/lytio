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捷\Desktop\"/>
    </mc:Choice>
  </mc:AlternateContent>
  <xr:revisionPtr revIDLastSave="0" documentId="8_{C68642BC-B412-4A4D-A89F-4F8E43002C8C}" xr6:coauthVersionLast="47" xr6:coauthVersionMax="47" xr10:uidLastSave="{00000000-0000-0000-0000-000000000000}"/>
  <bookViews>
    <workbookView xWindow="-103" yWindow="-103" windowWidth="21806" windowHeight="13886" xr2:uid="{98874AB7-AAED-4E51-94AC-4C05D5F39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1" l="1"/>
  <c r="P10" i="1"/>
  <c r="O10" i="1"/>
  <c r="N10" i="1"/>
  <c r="M10" i="1"/>
  <c r="Q9" i="1"/>
  <c r="P9" i="1"/>
  <c r="O9" i="1"/>
  <c r="N9" i="1"/>
  <c r="M9" i="1"/>
  <c r="Q8" i="1"/>
  <c r="P8" i="1"/>
  <c r="O8" i="1"/>
  <c r="N8" i="1"/>
  <c r="M8" i="1"/>
  <c r="Q7" i="1"/>
  <c r="P7" i="1"/>
  <c r="O7" i="1"/>
  <c r="N7" i="1"/>
  <c r="M7" i="1"/>
  <c r="Q6" i="1"/>
  <c r="P6" i="1"/>
  <c r="O6" i="1"/>
  <c r="N6" i="1"/>
  <c r="M6" i="1"/>
  <c r="Q5" i="1"/>
  <c r="P5" i="1"/>
  <c r="O5" i="1"/>
  <c r="N5" i="1"/>
  <c r="M5" i="1"/>
</calcChain>
</file>

<file path=xl/sharedStrings.xml><?xml version="1.0" encoding="utf-8"?>
<sst xmlns="http://schemas.openxmlformats.org/spreadsheetml/2006/main" count="21" uniqueCount="21">
  <si>
    <t>序号</t>
  </si>
  <si>
    <t xml:space="preserve">    项目    时间</t>
  </si>
  <si>
    <t>费用环比</t>
  </si>
  <si>
    <t>水费
(元)</t>
    <phoneticPr fontId="2" type="noConversion"/>
  </si>
  <si>
    <t>电费
（元）</t>
    <phoneticPr fontId="2" type="noConversion"/>
  </si>
  <si>
    <t>用电量
（kWh）</t>
    <phoneticPr fontId="2" type="noConversion"/>
  </si>
  <si>
    <t>燃气费
（元）</t>
    <phoneticPr fontId="2" type="noConversion"/>
  </si>
  <si>
    <r>
      <t>用水量
（M</t>
    </r>
    <r>
      <rPr>
        <sz val="11"/>
        <color theme="1"/>
        <rFont val="等线"/>
        <family val="2"/>
        <charset val="134"/>
      </rPr>
      <t>³</t>
    </r>
    <r>
      <rPr>
        <sz val="11"/>
        <color theme="1"/>
        <rFont val="等线"/>
        <family val="2"/>
        <charset val="134"/>
        <scheme val="minor"/>
      </rPr>
      <t>）</t>
    </r>
    <phoneticPr fontId="2" type="noConversion"/>
  </si>
  <si>
    <t>用气量
（M³）</t>
    <phoneticPr fontId="2" type="noConversion"/>
  </si>
  <si>
    <t>总能耗费用
（元）</t>
    <phoneticPr fontId="2" type="noConversion"/>
  </si>
  <si>
    <t>间夜数</t>
  </si>
  <si>
    <t>已运营  面积</t>
  </si>
  <si>
    <t>水（m³）/平米</t>
  </si>
  <si>
    <t>天然气（m³）/平米</t>
  </si>
  <si>
    <t>平米能耗费（元）</t>
  </si>
  <si>
    <t>间夜数能耗费（元）</t>
  </si>
  <si>
    <t>电（kWh）/平米</t>
    <phoneticPr fontId="2" type="noConversion"/>
  </si>
  <si>
    <t>能耗及费用数据</t>
    <phoneticPr fontId="2" type="noConversion"/>
  </si>
  <si>
    <t>营业数据</t>
    <phoneticPr fontId="2" type="noConversion"/>
  </si>
  <si>
    <t>能耗分析</t>
    <phoneticPr fontId="2" type="noConversion"/>
  </si>
  <si>
    <t>太保家园静安社区2026年1~6月能耗统计表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</si>
</sst>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&quot;年&quot;m&quot;月&quot;;@"/>
    <numFmt numFmtId="178" formatCode="0.00_ 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>
      <alignment vertical="center"/>
    </xf>
    <xf numFmtId="10" fontId="0" fillId="0" borderId="6" xfId="0" applyNumberFormat="1" applyBorder="1">
      <alignment vertical="center"/>
    </xf>
    <xf numFmtId="0" fontId="0" fillId="0" borderId="7" xfId="0" applyBorder="1">
      <alignment vertical="center"/>
    </xf>
    <xf numFmtId="177" fontId="0" fillId="0" borderId="8" xfId="0" applyNumberFormat="1" applyBorder="1">
      <alignment vertical="center"/>
    </xf>
    <xf numFmtId="0" fontId="0" fillId="0" borderId="8" xfId="0" applyBorder="1">
      <alignment vertical="center"/>
    </xf>
    <xf numFmtId="10" fontId="0" fillId="0" borderId="9" xfId="0" applyNumberFormat="1" applyBorder="1">
      <alignment vertical="center"/>
    </xf>
    <xf numFmtId="0" fontId="0" fillId="0" borderId="10" xfId="0" applyBorder="1">
      <alignment vertical="center"/>
    </xf>
    <xf numFmtId="177" fontId="0" fillId="0" borderId="11" xfId="0" applyNumberFormat="1" applyBorder="1">
      <alignment vertical="center"/>
    </xf>
    <xf numFmtId="0" fontId="0" fillId="0" borderId="11" xfId="0" applyBorder="1">
      <alignment vertical="center"/>
    </xf>
    <xf numFmtId="10" fontId="0" fillId="0" borderId="12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justify" vertical="distributed"/>
    </xf>
    <xf numFmtId="0" fontId="0" fillId="0" borderId="8" xfId="0" applyBorder="1" applyAlignment="1">
      <alignment horizontal="center" vertical="center" wrapText="1"/>
    </xf>
    <xf numFmtId="10" fontId="0" fillId="0" borderId="9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7EE1-6DDB-495D-8441-0348A6661CD6}">
  <dimension ref="B1:R11"/>
  <sheetViews>
    <sheetView tabSelected="1" workbookViewId="0">
      <selection activeCell="Q6" sqref="Q6"/>
    </sheetView>
  </sheetViews>
  <sheetFormatPr defaultRowHeight="14.15" x14ac:dyDescent="0.35"/>
  <cols>
    <col min="3" max="3" width="9.85546875" bestFit="1" customWidth="1"/>
  </cols>
  <sheetData>
    <row r="1" spans="2:18" x14ac:dyDescent="0.35">
      <c r="B1" s="5" t="s">
        <v>20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2:18" ht="33.450000000000003" customHeight="1" thickBot="1" x14ac:dyDescent="0.4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2:18" ht="50.05" customHeight="1" thickTop="1" x14ac:dyDescent="0.35">
      <c r="B3" s="7" t="s">
        <v>0</v>
      </c>
      <c r="C3" s="8" t="s">
        <v>17</v>
      </c>
      <c r="D3" s="8"/>
      <c r="E3" s="8"/>
      <c r="F3" s="8"/>
      <c r="G3" s="8"/>
      <c r="H3" s="8"/>
      <c r="I3" s="8"/>
      <c r="J3" s="8"/>
      <c r="K3" s="8" t="s">
        <v>18</v>
      </c>
      <c r="L3" s="8"/>
      <c r="M3" s="8" t="s">
        <v>19</v>
      </c>
      <c r="N3" s="8"/>
      <c r="O3" s="8"/>
      <c r="P3" s="8"/>
      <c r="Q3" s="8"/>
      <c r="R3" s="9"/>
    </row>
    <row r="4" spans="2:18" ht="50.05" customHeight="1" thickBot="1" x14ac:dyDescent="0.4">
      <c r="B4" s="20"/>
      <c r="C4" s="21" t="s">
        <v>1</v>
      </c>
      <c r="D4" s="22" t="s">
        <v>3</v>
      </c>
      <c r="E4" s="22" t="s">
        <v>7</v>
      </c>
      <c r="F4" s="22" t="s">
        <v>4</v>
      </c>
      <c r="G4" s="22" t="s">
        <v>5</v>
      </c>
      <c r="H4" s="22" t="s">
        <v>6</v>
      </c>
      <c r="I4" s="22" t="s">
        <v>8</v>
      </c>
      <c r="J4" s="22" t="s">
        <v>9</v>
      </c>
      <c r="K4" s="22" t="s">
        <v>10</v>
      </c>
      <c r="L4" s="22" t="s">
        <v>11</v>
      </c>
      <c r="M4" s="22" t="s">
        <v>16</v>
      </c>
      <c r="N4" s="22" t="s">
        <v>12</v>
      </c>
      <c r="O4" s="22" t="s">
        <v>13</v>
      </c>
      <c r="P4" s="22" t="s">
        <v>14</v>
      </c>
      <c r="Q4" s="22" t="s">
        <v>15</v>
      </c>
      <c r="R4" s="23" t="s">
        <v>2</v>
      </c>
    </row>
    <row r="5" spans="2:18" ht="50.05" customHeight="1" thickTop="1" x14ac:dyDescent="0.35">
      <c r="B5" s="16">
        <v>1</v>
      </c>
      <c r="C5" s="17">
        <v>46031</v>
      </c>
      <c r="D5" s="18">
        <v>16308.28</v>
      </c>
      <c r="E5" s="18">
        <v>2447</v>
      </c>
      <c r="F5" s="18">
        <v>175702.27</v>
      </c>
      <c r="G5" s="18">
        <v>274664</v>
      </c>
      <c r="H5" s="18">
        <v>34460.959999999999</v>
      </c>
      <c r="I5" s="18">
        <v>8071</v>
      </c>
      <c r="J5" s="18">
        <v>226471.51</v>
      </c>
      <c r="K5" s="1">
        <v>3689</v>
      </c>
      <c r="L5" s="18">
        <v>24300</v>
      </c>
      <c r="M5" s="4">
        <f t="shared" ref="M5:M10" si="0">G5/L5</f>
        <v>11.303045267489711</v>
      </c>
      <c r="N5" s="4">
        <f t="shared" ref="N5:N10" si="1">H5/L5</f>
        <v>1.4181465020576132</v>
      </c>
      <c r="O5" s="4">
        <f t="shared" ref="O5:O10" si="2">I5/L5</f>
        <v>0.33213991769547324</v>
      </c>
      <c r="P5" s="4">
        <f t="shared" ref="P5:P10" si="3">J5/L5</f>
        <v>9.3198152263374485</v>
      </c>
      <c r="Q5" s="4">
        <f t="shared" ref="Q5:Q10" si="4">J5/K5</f>
        <v>61.391030089455143</v>
      </c>
      <c r="R5" s="19">
        <v>0.27080003025614002</v>
      </c>
    </row>
    <row r="6" spans="2:18" ht="50.05" customHeight="1" x14ac:dyDescent="0.35">
      <c r="B6" s="10">
        <v>2</v>
      </c>
      <c r="C6" s="3">
        <v>46063</v>
      </c>
      <c r="D6" s="2">
        <v>12710.05</v>
      </c>
      <c r="E6" s="2">
        <v>2056</v>
      </c>
      <c r="F6" s="2">
        <v>131677.14000000001</v>
      </c>
      <c r="G6" s="2">
        <v>196541</v>
      </c>
      <c r="H6" s="2">
        <v>22038.1</v>
      </c>
      <c r="I6" s="2">
        <v>7286</v>
      </c>
      <c r="J6" s="2">
        <v>166425.29</v>
      </c>
      <c r="K6" s="1">
        <v>3332</v>
      </c>
      <c r="L6" s="2">
        <v>24300</v>
      </c>
      <c r="M6" s="4">
        <f t="shared" si="0"/>
        <v>8.0881069958847736</v>
      </c>
      <c r="N6" s="4">
        <f t="shared" si="1"/>
        <v>0.90691769547325096</v>
      </c>
      <c r="O6" s="4">
        <f t="shared" si="2"/>
        <v>0.29983539094650208</v>
      </c>
      <c r="P6" s="4">
        <f t="shared" si="3"/>
        <v>6.8487773662551445</v>
      </c>
      <c r="Q6" s="4">
        <f t="shared" si="4"/>
        <v>49.94756602641057</v>
      </c>
      <c r="R6" s="11">
        <v>-0.265138074100358</v>
      </c>
    </row>
    <row r="7" spans="2:18" ht="50.05" customHeight="1" x14ac:dyDescent="0.35">
      <c r="B7" s="10">
        <v>3</v>
      </c>
      <c r="C7" s="3">
        <v>46095</v>
      </c>
      <c r="D7" s="2">
        <v>10703.27</v>
      </c>
      <c r="E7" s="2">
        <v>2463</v>
      </c>
      <c r="F7" s="2">
        <v>123542.62</v>
      </c>
      <c r="G7" s="2">
        <v>192107</v>
      </c>
      <c r="H7" s="2">
        <v>23659.599999999999</v>
      </c>
      <c r="I7" s="2">
        <v>7757</v>
      </c>
      <c r="J7" s="2">
        <v>157905.49</v>
      </c>
      <c r="K7" s="1">
        <v>3968</v>
      </c>
      <c r="L7" s="2">
        <v>24300</v>
      </c>
      <c r="M7" s="4">
        <f t="shared" si="0"/>
        <v>7.9056378600823045</v>
      </c>
      <c r="N7" s="4">
        <f t="shared" si="1"/>
        <v>0.97364609053497941</v>
      </c>
      <c r="O7" s="4">
        <f t="shared" si="2"/>
        <v>0.31921810699588477</v>
      </c>
      <c r="P7" s="4">
        <f t="shared" si="3"/>
        <v>6.4981683127572012</v>
      </c>
      <c r="Q7" s="4">
        <f t="shared" si="4"/>
        <v>39.794730342741936</v>
      </c>
      <c r="R7" s="11">
        <v>-5.1192940688281299E-2</v>
      </c>
    </row>
    <row r="8" spans="2:18" ht="50.05" customHeight="1" x14ac:dyDescent="0.35">
      <c r="B8" s="10">
        <v>4</v>
      </c>
      <c r="C8" s="3">
        <v>46127</v>
      </c>
      <c r="D8" s="2">
        <v>10785.35</v>
      </c>
      <c r="E8" s="2">
        <v>2482</v>
      </c>
      <c r="F8" s="2">
        <v>69347.23</v>
      </c>
      <c r="G8" s="2">
        <v>109368.068610505</v>
      </c>
      <c r="H8" s="2">
        <v>25470.25</v>
      </c>
      <c r="I8" s="2">
        <v>8351</v>
      </c>
      <c r="J8" s="2">
        <v>105602.83</v>
      </c>
      <c r="K8" s="1">
        <v>3990</v>
      </c>
      <c r="L8" s="2">
        <v>24300</v>
      </c>
      <c r="M8" s="4">
        <f t="shared" si="0"/>
        <v>4.5007435642183129</v>
      </c>
      <c r="N8" s="4">
        <f t="shared" si="1"/>
        <v>1.0481584362139917</v>
      </c>
      <c r="O8" s="4">
        <f t="shared" si="2"/>
        <v>0.3436625514403292</v>
      </c>
      <c r="P8" s="4">
        <f t="shared" si="3"/>
        <v>4.3457954732510284</v>
      </c>
      <c r="Q8" s="4">
        <f t="shared" si="4"/>
        <v>26.466874686716793</v>
      </c>
      <c r="R8" s="11">
        <v>-0.33122762229482999</v>
      </c>
    </row>
    <row r="9" spans="2:18" ht="50.05" customHeight="1" x14ac:dyDescent="0.35">
      <c r="B9" s="10">
        <v>5</v>
      </c>
      <c r="C9" s="3">
        <v>46159</v>
      </c>
      <c r="D9" s="2">
        <v>13108.91</v>
      </c>
      <c r="E9" s="2">
        <v>2903</v>
      </c>
      <c r="F9" s="2">
        <v>93528.03</v>
      </c>
      <c r="G9" s="2">
        <v>143839</v>
      </c>
      <c r="H9" s="2">
        <v>19754.099999999999</v>
      </c>
      <c r="I9" s="2">
        <v>6477</v>
      </c>
      <c r="J9" s="2">
        <v>126391.03999999999</v>
      </c>
      <c r="K9" s="1">
        <v>3990</v>
      </c>
      <c r="L9" s="2">
        <v>25800</v>
      </c>
      <c r="M9" s="4">
        <f t="shared" si="0"/>
        <v>5.5751550387596902</v>
      </c>
      <c r="N9" s="4">
        <f t="shared" si="1"/>
        <v>0.7656627906976744</v>
      </c>
      <c r="O9" s="4">
        <f t="shared" si="2"/>
        <v>0.25104651162790698</v>
      </c>
      <c r="P9" s="4">
        <f t="shared" si="3"/>
        <v>4.8988775193798446</v>
      </c>
      <c r="Q9" s="4">
        <f t="shared" si="4"/>
        <v>31.676952380952379</v>
      </c>
      <c r="R9" s="11">
        <v>0.19685277373721899</v>
      </c>
    </row>
    <row r="10" spans="2:18" ht="50.05" customHeight="1" thickBot="1" x14ac:dyDescent="0.4">
      <c r="B10" s="12">
        <v>6</v>
      </c>
      <c r="C10" s="13">
        <v>46191</v>
      </c>
      <c r="D10" s="14">
        <v>13718.71</v>
      </c>
      <c r="E10" s="14">
        <v>2752</v>
      </c>
      <c r="F10" s="14">
        <v>114285.45000000001</v>
      </c>
      <c r="G10" s="14">
        <v>175365</v>
      </c>
      <c r="H10" s="14">
        <v>18839.599999999999</v>
      </c>
      <c r="I10" s="14">
        <v>8491.35</v>
      </c>
      <c r="J10" s="14">
        <v>146843.76</v>
      </c>
      <c r="K10" s="24">
        <v>4200</v>
      </c>
      <c r="L10" s="14">
        <v>25800</v>
      </c>
      <c r="M10" s="25">
        <f t="shared" si="0"/>
        <v>6.7970930232558135</v>
      </c>
      <c r="N10" s="25">
        <f t="shared" si="1"/>
        <v>0.73021705426356587</v>
      </c>
      <c r="O10" s="25">
        <f t="shared" si="2"/>
        <v>0.32912209302325585</v>
      </c>
      <c r="P10" s="25">
        <f t="shared" si="3"/>
        <v>5.691618604651163</v>
      </c>
      <c r="Q10" s="25">
        <f t="shared" si="4"/>
        <v>34.962800000000001</v>
      </c>
      <c r="R10" s="15">
        <v>0.16182096452406766</v>
      </c>
    </row>
    <row r="11" spans="2:18" ht="14.6" thickTop="1" x14ac:dyDescent="0.35"/>
  </sheetData>
  <mergeCells count="5">
    <mergeCell ref="C3:J3"/>
    <mergeCell ref="K3:L3"/>
    <mergeCell ref="M3:R3"/>
    <mergeCell ref="B3:B4"/>
    <mergeCell ref="B1:R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 徐</dc:creator>
  <cp:lastModifiedBy>捷 徐</cp:lastModifiedBy>
  <dcterms:created xsi:type="dcterms:W3CDTF">2026-07-08T06:11:59Z</dcterms:created>
  <dcterms:modified xsi:type="dcterms:W3CDTF">2026-07-08T06:26:20Z</dcterms:modified>
</cp:coreProperties>
</file>